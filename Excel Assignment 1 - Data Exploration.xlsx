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362DB4-DF5E-490C-8AE2-EF319339A4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18" i="2" l="1"/>
  <c r="M15" i="2"/>
  <c r="J2" i="2" a="1"/>
  <c r="J2" i="2" s="1"/>
  <c r="I2" i="2" a="1"/>
  <c r="I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11" i="2"/>
  <c r="M10" i="2"/>
  <c r="M9" i="2"/>
  <c r="M8" i="2"/>
  <c r="M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<sst xmlns="http://schemas.openxmlformats.org/spreadsheetml/2006/main" count="171" uniqueCount="122">
  <si>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</si>
  <si>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</si>
  <si>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</si>
  <si>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</si>
  <si>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</si>
  <si>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</si>
  <si>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</si>
  <si>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</si>
  <si>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</si>
  <si>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</si>
  <si>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</si>
  <si>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</si>
  <si>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</si>
  <si>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</si>
  <si>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</si>
  <si>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</si>
  <si>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</si>
  <si>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</si>
  <si>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</si>
  <si>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</si>
  <si>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</si>
  <si>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</si>
  <si>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</si>
  <si>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</si>
  <si>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</si>
  <si>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</si>
  <si>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</si>
  <si>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</si>
  <si>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</si>
  <si>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</si>
  <si>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</si>
  <si>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</si>
  <si>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</si>
  <si>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</si>
  <si>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</si>
  <si>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</si>
  <si>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</si>
  <si>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</si>
  <si>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</si>
  <si>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</si>
  <si>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</si>
  <si>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</si>
  <si>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</si>
  <si>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</si>
  <si>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</si>
  <si>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</si>
  <si>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</si>
  <si>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</si>
  <si>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</si>
  <si>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</si>
  <si>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</si>
  <si>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</si>
  <si>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</si>
  <si>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</si>
  <si>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</si>
  <si>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</si>
  <si>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</si>
  <si>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</si>
  <si>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</si>
  <si>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</si>
  <si>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</si>
  <si>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</si>
  <si>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</si>
  <si>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</si>
  <si>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</si>
  <si>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</si>
  <si>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</si>
  <si>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</si>
  <si>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</si>
  <si>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</si>
  <si>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</si>
  <si>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</si>
  <si>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</si>
  <si>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</si>
  <si>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</si>
  <si>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</si>
  <si>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</si>
  <si>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</si>
  <si>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</si>
  <si>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</si>
  <si>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</si>
  <si>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</si>
  <si>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</si>
  <si>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</si>
  <si>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</si>
  <si>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</si>
  <si>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</si>
  <si>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</si>
  <si>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</si>
  <si>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</si>
  <si>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</si>
  <si>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</si>
  <si>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</si>
  <si>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</si>
  <si>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</si>
  <si>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</si>
  <si>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</si>
  <si>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</si>
  <si>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</si>
  <si>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</si>
  <si>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</si>
  <si>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</si>
  <si>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</si>
  <si>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</si>
  <si>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</si>
  <si>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</si>
  <si>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</si>
  <si>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</si>
  <si>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</si>
  <si>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</si>
  <si>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NUMBER OF PRODUCTS</t>
  </si>
  <si>
    <t>PRICE RANGE</t>
  </si>
  <si>
    <t>DAY</t>
  </si>
  <si>
    <t>COUNTRY CODE</t>
  </si>
  <si>
    <t>MONTH</t>
  </si>
  <si>
    <t>TOTAL PRICE OF ALL PRODUCT</t>
  </si>
  <si>
    <t>AVERAGE PRICE OF THE PRODUCT</t>
  </si>
  <si>
    <t>MINIMUM PRICE AMONG THE ALL PRODUCT</t>
  </si>
  <si>
    <t>MAXIMUM PRICE AMOMG ALL PRODUCT</t>
  </si>
  <si>
    <t>ELECTRONICS</t>
  </si>
  <si>
    <t>Calculate the total price for products in the 'Electronics' category using the SUMIF function.</t>
  </si>
  <si>
    <t>Determine the count of products with a price less than $100 using the COUNTIF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</si>
</sst>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5" fillId="4" borderId="0" xfId="0" applyFont="1" applyFill="1" applyAlignment="1">
      <alignment horizontal="center"/>
    </xf>
    <xf numFmtId="2" fontId="0" fillId="0" borderId="0" xfId="0" applyNumberForma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17" sqref="C17:I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1"/>
  <sheetViews>
    <sheetView tabSelected="1" zoomScale="90" zoomScaleNormal="90" workbookViewId="0">
      <selection activeCell="L20" sqref="L20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3" width="24.33203125" customWidth="1"/>
    <col min="4" max="6" width="12.6640625" customWidth="1"/>
    <col min="7" max="7" width="19" customWidth="1"/>
    <col min="8" max="8" width="12.6640625" style="13"/>
    <col min="9" max="9" width="16.33203125" style="13" bestFit="1" customWidth="1"/>
    <col min="11" max="11" width="7.6640625" customWidth="1"/>
    <col min="12" max="12" width="41.4414062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111</v>
      </c>
      <c r="H1" s="5" t="s">
        <v>112</v>
      </c>
      <c r="I1" s="5" t="s">
        <v>113</v>
      </c>
      <c r="J1" s="5" t="s">
        <v>114</v>
      </c>
    </row>
    <row r="2" spans="1:13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IF(D2&gt;=500,"HIGHER PRICE","STANDARD PRICE")</f>
        <v>HIGHER PRICE</v>
      </c>
      <c r="H2" s="13" t="str">
        <f>LEFT(A2,2)</f>
        <v>28</v>
      </c>
      <c r="I2" s="13" t="str" cm="1">
        <f t="array" ref="I2:I35">RIGHT(A2:A35,2)</f>
        <v>US</v>
      </c>
      <c r="J2" t="str" cm="1">
        <f t="array" ref="J2:J35">MID(A2:A35,4,3)</f>
        <v>JAN</v>
      </c>
    </row>
    <row r="3" spans="1:13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IF(D3&gt;=500,"HIGHER PRICE","STANDARD PRICE")</f>
        <v>STANDARD PRICE</v>
      </c>
      <c r="H3" s="13" t="str">
        <f t="shared" ref="H3:H35" si="1">LEFT(A3,2)</f>
        <v>15</v>
      </c>
      <c r="I3" s="13" t="str">
        <v>US</v>
      </c>
      <c r="J3" t="str">
        <v>FEB</v>
      </c>
    </row>
    <row r="4" spans="1:13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13" t="str">
        <f t="shared" si="1"/>
        <v>03</v>
      </c>
      <c r="I4" s="13" t="str">
        <v>US</v>
      </c>
      <c r="J4" t="str">
        <v>MAR</v>
      </c>
    </row>
    <row r="5" spans="1:13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HIGHER PRICE</v>
      </c>
      <c r="H5" s="13" t="str">
        <f t="shared" si="1"/>
        <v>11</v>
      </c>
      <c r="I5" s="13" t="str">
        <v>US</v>
      </c>
      <c r="J5" t="str">
        <v>APR</v>
      </c>
    </row>
    <row r="6" spans="1:13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13" t="str">
        <f t="shared" si="1"/>
        <v>22</v>
      </c>
      <c r="I6" s="13" t="str">
        <v>US</v>
      </c>
      <c r="J6" t="str">
        <v>MAY</v>
      </c>
    </row>
    <row r="7" spans="1:13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s="13" t="str">
        <f t="shared" si="1"/>
        <v>07</v>
      </c>
      <c r="I7" s="13" t="str">
        <v>UK</v>
      </c>
      <c r="J7" t="str">
        <v>JUN</v>
      </c>
      <c r="L7" s="11" t="s">
        <v>115</v>
      </c>
      <c r="M7">
        <f>SUM(D2:D35)</f>
        <v>10100</v>
      </c>
    </row>
    <row r="8" spans="1:13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13" t="str">
        <f t="shared" si="1"/>
        <v>19</v>
      </c>
      <c r="I8" s="13" t="str">
        <v>UK</v>
      </c>
      <c r="J8" t="str">
        <v>JUL</v>
      </c>
      <c r="L8" s="11" t="s">
        <v>110</v>
      </c>
      <c r="M8">
        <f>COUNTA(B2:B35)</f>
        <v>34</v>
      </c>
    </row>
    <row r="9" spans="1:13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s="13" t="str">
        <f t="shared" si="1"/>
        <v>23</v>
      </c>
      <c r="I9" s="13" t="str">
        <v>UK</v>
      </c>
      <c r="J9" t="str">
        <v>AUG</v>
      </c>
      <c r="L9" s="11" t="s">
        <v>116</v>
      </c>
      <c r="M9" s="9">
        <f>AVERAGE(D2:D35)</f>
        <v>297.05882352941177</v>
      </c>
    </row>
    <row r="10" spans="1:1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HIGHER PRICE</v>
      </c>
      <c r="H10" s="13" t="str">
        <f t="shared" si="1"/>
        <v>05</v>
      </c>
      <c r="I10" s="13" t="str">
        <v>UK</v>
      </c>
      <c r="J10" t="str">
        <v>SEP</v>
      </c>
      <c r="L10" s="12" t="s">
        <v>117</v>
      </c>
      <c r="M10">
        <f>MIN(D2:D35)</f>
        <v>30</v>
      </c>
    </row>
    <row r="11" spans="1:1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s="13" t="str">
        <f t="shared" si="1"/>
        <v>14</v>
      </c>
      <c r="I11" s="13" t="str">
        <v>UK</v>
      </c>
      <c r="J11" t="str">
        <v>OCT</v>
      </c>
      <c r="L11" s="12" t="s">
        <v>118</v>
      </c>
      <c r="M11">
        <f>MAX(D2:D35)</f>
        <v>1000</v>
      </c>
    </row>
    <row r="12" spans="1:1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HIGHER PRICE</v>
      </c>
      <c r="H12" s="13" t="str">
        <f t="shared" si="1"/>
        <v>17</v>
      </c>
      <c r="I12" s="13" t="str">
        <v>IN</v>
      </c>
      <c r="J12" t="str">
        <v>JUN</v>
      </c>
    </row>
    <row r="13" spans="1:1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s="13" t="str">
        <f t="shared" si="1"/>
        <v>25</v>
      </c>
      <c r="I13" s="13" t="str">
        <v>AU</v>
      </c>
      <c r="J13" t="str">
        <v>NOV</v>
      </c>
    </row>
    <row r="14" spans="1:13" ht="15.75" customHeight="1" x14ac:dyDescent="0.3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13" t="str">
        <f t="shared" si="1"/>
        <v>08</v>
      </c>
      <c r="I14" s="13" t="str">
        <v>DE</v>
      </c>
      <c r="J14" t="str">
        <v>DEC</v>
      </c>
      <c r="L14" s="10" t="s">
        <v>120</v>
      </c>
    </row>
    <row r="15" spans="1:1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s="13" t="str">
        <f t="shared" si="1"/>
        <v>18</v>
      </c>
      <c r="I15" s="13" t="str">
        <v>CA</v>
      </c>
      <c r="J15" t="str">
        <v>FEB</v>
      </c>
      <c r="L15" t="s">
        <v>119</v>
      </c>
      <c r="M15">
        <f>SUMIF(F2:F35,L15,D2:D35)</f>
        <v>8050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13" t="str">
        <f t="shared" si="1"/>
        <v>16</v>
      </c>
      <c r="I16" s="13" t="str">
        <v>ES</v>
      </c>
      <c r="J16" t="str">
        <v>APR</v>
      </c>
    </row>
    <row r="17" spans="1:13" ht="15.75" customHeight="1" x14ac:dyDescent="0.3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s="13" t="str">
        <f t="shared" si="1"/>
        <v>21</v>
      </c>
      <c r="I17" s="13" t="str">
        <v>CA</v>
      </c>
      <c r="J17" t="str">
        <v>AUG</v>
      </c>
      <c r="L17" s="10" t="s">
        <v>121</v>
      </c>
    </row>
    <row r="18" spans="1:13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13" t="str">
        <f t="shared" si="1"/>
        <v>20</v>
      </c>
      <c r="I18" s="13" t="str">
        <v>CN</v>
      </c>
      <c r="J18" t="str">
        <v>AUG</v>
      </c>
      <c r="M18">
        <f>COUNTIF(D2:D35,"&lt;100")</f>
        <v>11</v>
      </c>
    </row>
    <row r="19" spans="1:13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HIGHER PRICE</v>
      </c>
      <c r="H19" s="13" t="str">
        <f t="shared" si="1"/>
        <v>27</v>
      </c>
      <c r="I19" s="13" t="str">
        <v>IT</v>
      </c>
      <c r="J19" t="str">
        <v>JAN</v>
      </c>
    </row>
    <row r="20" spans="1:13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13" t="str">
        <f t="shared" si="1"/>
        <v>01</v>
      </c>
      <c r="I20" s="13" t="str">
        <v>UK</v>
      </c>
      <c r="J20" t="str">
        <v>MAR</v>
      </c>
    </row>
    <row r="21" spans="1:13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s="13" t="str">
        <f t="shared" si="1"/>
        <v>14</v>
      </c>
      <c r="I21" s="13" t="str">
        <v>US</v>
      </c>
      <c r="J21" t="str">
        <v>AUG</v>
      </c>
    </row>
    <row r="22" spans="1:13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HIGHER PRICE</v>
      </c>
      <c r="H22" s="13" t="str">
        <f t="shared" si="1"/>
        <v>14</v>
      </c>
      <c r="I22" s="13" t="str">
        <v>RU</v>
      </c>
      <c r="J22" t="str">
        <v>MAY</v>
      </c>
    </row>
    <row r="23" spans="1:13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s="13" t="str">
        <f t="shared" si="1"/>
        <v>09</v>
      </c>
      <c r="I23" s="13" t="str">
        <v>CA</v>
      </c>
      <c r="J23" t="str">
        <v>JAN</v>
      </c>
    </row>
    <row r="24" spans="1:13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13" t="str">
        <f t="shared" si="1"/>
        <v>19</v>
      </c>
      <c r="I24" s="13" t="str">
        <v>BR</v>
      </c>
      <c r="J24" t="str">
        <v>JUL</v>
      </c>
    </row>
    <row r="25" spans="1:13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s="13" t="str">
        <f t="shared" si="1"/>
        <v>21</v>
      </c>
      <c r="I25" s="13" t="str">
        <v>CA</v>
      </c>
      <c r="J25" t="str">
        <v>AUG</v>
      </c>
    </row>
    <row r="26" spans="1:13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HIGHER PRICE</v>
      </c>
      <c r="H26" s="13" t="str">
        <f t="shared" si="1"/>
        <v>29</v>
      </c>
      <c r="I26" s="13" t="str">
        <v>CA</v>
      </c>
      <c r="J26" t="str">
        <v>SEP</v>
      </c>
    </row>
    <row r="27" spans="1:13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s="13" t="str">
        <f t="shared" si="1"/>
        <v>03</v>
      </c>
      <c r="I27" s="13" t="str">
        <v>CA</v>
      </c>
      <c r="J27" t="str">
        <v>JUN</v>
      </c>
    </row>
    <row r="28" spans="1:13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13" t="str">
        <f t="shared" si="1"/>
        <v>11</v>
      </c>
      <c r="I28" s="13" t="str">
        <v>CA</v>
      </c>
      <c r="J28" t="str">
        <v>JUL</v>
      </c>
    </row>
    <row r="29" spans="1:13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s="13" t="str">
        <f t="shared" si="1"/>
        <v>16</v>
      </c>
      <c r="I29" s="13" t="str">
        <v>ES</v>
      </c>
      <c r="J29" t="str">
        <v>APR</v>
      </c>
    </row>
    <row r="30" spans="1:13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13" t="str">
        <f t="shared" si="1"/>
        <v>07</v>
      </c>
      <c r="I30" s="13" t="str">
        <v>CA</v>
      </c>
      <c r="J30" t="str">
        <v>MAR</v>
      </c>
    </row>
    <row r="31" spans="1:13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s="13" t="str">
        <f t="shared" si="1"/>
        <v>13</v>
      </c>
      <c r="I31" s="13" t="str">
        <v>CA</v>
      </c>
      <c r="J31" t="str">
        <v>APR</v>
      </c>
    </row>
    <row r="32" spans="1:13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13" t="str">
        <f t="shared" si="1"/>
        <v>24</v>
      </c>
      <c r="I32" s="13" t="str">
        <v>CA</v>
      </c>
      <c r="J32" t="str"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s="13" t="str">
        <f t="shared" si="1"/>
        <v>02</v>
      </c>
      <c r="I33" s="13" t="str">
        <v>CA</v>
      </c>
      <c r="J33" t="str"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HIGHER PRICE</v>
      </c>
      <c r="H34" s="13" t="str">
        <f t="shared" si="1"/>
        <v>17</v>
      </c>
      <c r="I34" s="13" t="str">
        <v>IN</v>
      </c>
      <c r="J34" t="str"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s="13" t="str">
        <f t="shared" si="1"/>
        <v>09</v>
      </c>
      <c r="I35" s="13" t="str">
        <v>FR</v>
      </c>
      <c r="J35" t="str">
        <v>JUL</v>
      </c>
    </row>
    <row r="36" spans="1:10" ht="15.75" customHeight="1" x14ac:dyDescent="0.25">
      <c r="A36" s="7"/>
      <c r="B36" s="7"/>
      <c r="C36" s="7"/>
      <c r="D36" s="7"/>
      <c r="E36" s="7"/>
      <c r="F36" s="7"/>
      <c r="G36" s="6"/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AMRITHA PA</cp:lastModifiedBy>
  <dcterms:modified xsi:type="dcterms:W3CDTF">2026-08-26T16:02:20Z</dcterms:modified>
</cp:coreProperties>
</file>